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showInkAnnotation="0" autoCompressPictures="0"/>
  <xr:revisionPtr revIDLastSave="0" documentId="11_ED38B38B270FD112ACEB2CEDA1F1482E4303DC1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EME" sheetId="1" r:id="rId1"/>
    <sheet name="Proyectos" sheetId="2" r:id="rId2"/>
    <sheet name="Sprints" sheetId="3" r:id="rId3"/>
    <sheet name="Asignacion_Sprints" sheetId="4" r:id="rId4"/>
    <sheet name="Utilizacion_Sprint" sheetId="5" r:id="rId5"/>
    <sheet name="Items_Inventario" sheetId="6" r:id="rId6"/>
    <sheet name="Demanda_Inventario" sheetId="7" r:id="rId7"/>
    <sheet name="Plan_Inventario" sheetId="8" r:id="rId8"/>
    <sheet name="Modelo_Optimizacion" sheetId="9" r:id="rId9"/>
    <sheet name="DAX_Medidas" sheetId="10" r:id="rId10"/>
    <sheet name="Dashboard_Referencia" sheetId="11" r:id="rId1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<sst xmlns="http://schemas.openxmlformats.org/spreadsheetml/2006/main" count="305" uniqueCount="178">
  <si>
    <t>Caso DevNova TI S.A.C. - Base de datos para Power BI</t>
  </si>
  <si>
    <t>Objetivo</t>
  </si>
  <si>
    <t>Modelo de planeamiento de producción/capacidad de software e inventarios TI para 4 sprints.</t>
  </si>
  <si>
    <t>Empresa</t>
  </si>
  <si>
    <t>DevNova TI S.A.C. (empresa ficticia de desarrollo de software y analítica).</t>
  </si>
  <si>
    <t>Modelo 1</t>
  </si>
  <si>
    <t>Maximizar valor de negocio asignando Story Points a 3 proyectos, sujeto a horas Dev, QA y DevOps.</t>
  </si>
  <si>
    <t>Modelo 2</t>
  </si>
  <si>
    <t>Minimizar costo de abastecimiento e inventario manteniendo stock de seguridad de equipos, licencias y repuestos.</t>
  </si>
  <si>
    <t>Uso en Power BI</t>
  </si>
  <si>
    <t>Importar las hojas como tablas; crear relaciones según las claves; copiar las medidas DAX de la hoja DAX_Medidas.</t>
  </si>
  <si>
    <t>Nota técnica</t>
  </si>
  <si>
    <t>Power BI/DAX visualiza y evalúa escenarios. La solución óptima se calcula con un Solver externo y se carga como resultado para análisis.</t>
  </si>
  <si>
    <t>ProyectoID</t>
  </si>
  <si>
    <t>Proyecto</t>
  </si>
  <si>
    <t>Cliente</t>
  </si>
  <si>
    <t>Prioridad</t>
  </si>
  <si>
    <t>Valor_por_SP</t>
  </si>
  <si>
    <t>Dev_h_por_SP</t>
  </si>
  <si>
    <t>QA_h_por_SP</t>
  </si>
  <si>
    <t>DevOps_h_por_SP</t>
  </si>
  <si>
    <t>Backlog_SP</t>
  </si>
  <si>
    <t>Minimo_SP</t>
  </si>
  <si>
    <t>P01</t>
  </si>
  <si>
    <t>ERP Comercial</t>
  </si>
  <si>
    <t>Grupo Andino</t>
  </si>
  <si>
    <t>Alta</t>
  </si>
  <si>
    <t>P02</t>
  </si>
  <si>
    <t>App Móvil Clientes</t>
  </si>
  <si>
    <t>Fintech Sol</t>
  </si>
  <si>
    <t>P03</t>
  </si>
  <si>
    <t>Portal BI Ejecutivo</t>
  </si>
  <si>
    <t>Retail Centro</t>
  </si>
  <si>
    <t>Media</t>
  </si>
  <si>
    <t>SprintID</t>
  </si>
  <si>
    <t>Sprint</t>
  </si>
  <si>
    <t>FechaInicio</t>
  </si>
  <si>
    <t>FechaFin</t>
  </si>
  <si>
    <t>CapacidadDev_h</t>
  </si>
  <si>
    <t>CapacidadQA_h</t>
  </si>
  <si>
    <t>CapacidadDevOps_h</t>
  </si>
  <si>
    <t>S01</t>
  </si>
  <si>
    <t>Sprint 1</t>
  </si>
  <si>
    <t>S02</t>
  </si>
  <si>
    <t>Sprint 2</t>
  </si>
  <si>
    <t>S03</t>
  </si>
  <si>
    <t>Sprint 3</t>
  </si>
  <si>
    <t>S04</t>
  </si>
  <si>
    <t>Sprint 4</t>
  </si>
  <si>
    <t>StoryPoints_Optimos</t>
  </si>
  <si>
    <t>ValorNegocio</t>
  </si>
  <si>
    <t>HorasDev</t>
  </si>
  <si>
    <t>HorasQA</t>
  </si>
  <si>
    <t>HorasDevOps</t>
  </si>
  <si>
    <t>Dev_Usadas</t>
  </si>
  <si>
    <t>Dev_Capacidad</t>
  </si>
  <si>
    <t>Dev_Util_pct</t>
  </si>
  <si>
    <t>QA_Usadas</t>
  </si>
  <si>
    <t>QA_Capacidad</t>
  </si>
  <si>
    <t>QA_Util_pct</t>
  </si>
  <si>
    <t>DevOps_Usadas</t>
  </si>
  <si>
    <t>DevOps_Capacidad</t>
  </si>
  <si>
    <t>DevOps_Util_pct</t>
  </si>
  <si>
    <t>ItemID</t>
  </si>
  <si>
    <t>Categoria</t>
  </si>
  <si>
    <t>Item</t>
  </si>
  <si>
    <t>CostoUnitario</t>
  </si>
  <si>
    <t>CostoMantencionSprint</t>
  </si>
  <si>
    <t>StockInicial</t>
  </si>
  <si>
    <t>StockSeguridad</t>
  </si>
  <si>
    <t>I01</t>
  </si>
  <si>
    <t>Equipo</t>
  </si>
  <si>
    <t>Laptop desarrollador</t>
  </si>
  <si>
    <t>I02</t>
  </si>
  <si>
    <t>Licencia</t>
  </si>
  <si>
    <t>Power BI Pro</t>
  </si>
  <si>
    <t>I03</t>
  </si>
  <si>
    <t>Repuesto</t>
  </si>
  <si>
    <t>SSD 1TB</t>
  </si>
  <si>
    <t>I04</t>
  </si>
  <si>
    <t>RAM 16GB</t>
  </si>
  <si>
    <t>Demanda</t>
  </si>
  <si>
    <t>StockInicialSprint</t>
  </si>
  <si>
    <t>CompraOptima</t>
  </si>
  <si>
    <t>StockFinal</t>
  </si>
  <si>
    <t>CostoCompra</t>
  </si>
  <si>
    <t>CostoMantencion</t>
  </si>
  <si>
    <t>CostoTotal</t>
  </si>
  <si>
    <t>Modelo de optimización lineal - formulación didáctica</t>
  </si>
  <si>
    <t>SUBMODELO A: CAPACIDAD DE DESARROLLO (SPRINTS)</t>
  </si>
  <si>
    <t>Variable</t>
  </si>
  <si>
    <t>x(p,s) = Story Points del proyecto p asignados al sprint s</t>
  </si>
  <si>
    <t>Max Z = Σ ValorPorSP(p) × x(p,s)</t>
  </si>
  <si>
    <t>Restricción 1</t>
  </si>
  <si>
    <t>Σ Dev_h_por_SP(p) × x(p,s) ≤ CapacidadDev(s)</t>
  </si>
  <si>
    <t>Restricción 2</t>
  </si>
  <si>
    <t>Σ QA_h_por_SP(p) × x(p,s) ≤ CapacidadQA(s)</t>
  </si>
  <si>
    <t>Restricción 3</t>
  </si>
  <si>
    <t>Σ DevOps_h_por_SP(p) × x(p,s) ≤ CapacidadDevOps(s)</t>
  </si>
  <si>
    <t>Restricción 4</t>
  </si>
  <si>
    <t>Σ_s x(p,s) ≤ Backlog_SP(p)</t>
  </si>
  <si>
    <t>Restricción 5</t>
  </si>
  <si>
    <t>Σ_s x(p,s) ≥ Minimo_SP(p)</t>
  </si>
  <si>
    <t>Restricción 6</t>
  </si>
  <si>
    <t>0 ≤ x(p,s) ≤ 60</t>
  </si>
  <si>
    <t>Resultado</t>
  </si>
  <si>
    <t>Valor de negocio óptimo del ejemplo = 49,800 puntos monetarios/valor</t>
  </si>
  <si>
    <t>SUBMODELO B: INVENTARIO TI</t>
  </si>
  <si>
    <t>q(i,s) = unidades a comprar del ítem i en sprint s</t>
  </si>
  <si>
    <t>Balance</t>
  </si>
  <si>
    <t>InvFinal(i,s)=InvInicial(i,s)+q(i,s)-Demanda(i,s)</t>
  </si>
  <si>
    <t>Seguridad</t>
  </si>
  <si>
    <t>InvFinal(i,s) ≥ StockSeguridad(i)</t>
  </si>
  <si>
    <t>Min C = Σ [CostoUnitario(i)×q(i,s)+CostoMantención(i)×InvFinal(i,s)]</t>
  </si>
  <si>
    <t>No negatividad</t>
  </si>
  <si>
    <t>q(i,s) ≥ 0; InvFinal(i,s) ≥ 0</t>
  </si>
  <si>
    <t>Medida</t>
  </si>
  <si>
    <t>Fórmula DAX</t>
  </si>
  <si>
    <t>Uso sugerido</t>
  </si>
  <si>
    <t>SP Optimizados</t>
  </si>
  <si>
    <t>SP Optimizados = SUM(Asignacion_Sprints[StoryPoints_Optimos])</t>
  </si>
  <si>
    <t>Tarjeta KPI</t>
  </si>
  <si>
    <t>Valor Total</t>
  </si>
  <si>
    <t>Valor Total = SUM(Asignacion_Sprints[ValorNegocio])</t>
  </si>
  <si>
    <t>Horas Dev Usadas</t>
  </si>
  <si>
    <t>Horas Dev Usadas = SUM(Asignacion_Sprints[HorasDev])</t>
  </si>
  <si>
    <t>KPI / gráfico</t>
  </si>
  <si>
    <t>Horas QA Usadas</t>
  </si>
  <si>
    <t>Horas QA Usadas = SUM(Asignacion_Sprints[HorasQA])</t>
  </si>
  <si>
    <t>Horas DevOps Usadas</t>
  </si>
  <si>
    <t>Horas DevOps Usadas = SUM(Asignacion_Sprints[HorasDevOps])</t>
  </si>
  <si>
    <t>Capacidad Dev</t>
  </si>
  <si>
    <t>Capacidad Dev = SUM(Sprints[CapacidadDev_h])</t>
  </si>
  <si>
    <t>KPI</t>
  </si>
  <si>
    <t>Utilización Dev %</t>
  </si>
  <si>
    <t>Utilización Dev % = DIVIDE([Horas Dev Usadas],[Capacidad Dev],0)</t>
  </si>
  <si>
    <t>Medidor</t>
  </si>
  <si>
    <t>Capacidad QA</t>
  </si>
  <si>
    <t>Capacidad QA = SUM(Sprints[CapacidadQA_h])</t>
  </si>
  <si>
    <t>Utilización QA %</t>
  </si>
  <si>
    <t>Utilización QA % = DIVIDE([Horas QA Usadas],[Capacidad QA],0)</t>
  </si>
  <si>
    <t>Capacidad DevOps</t>
  </si>
  <si>
    <t>Capacidad DevOps = SUM(Sprints[CapacidadDevOps_h])</t>
  </si>
  <si>
    <t>Utilización DevOps %</t>
  </si>
  <si>
    <t>Utilización DevOps % = DIVIDE([Horas DevOps Usadas],[Capacidad DevOps],0)</t>
  </si>
  <si>
    <t>Costo Compras</t>
  </si>
  <si>
    <t>Costo Compras = SUM(Plan_Inventario[CostoCompra])</t>
  </si>
  <si>
    <t>Costo Mantención</t>
  </si>
  <si>
    <t>Costo Mantención = SUM(Plan_Inventario[CostoMantencion])</t>
  </si>
  <si>
    <t>Costo Inventario Total</t>
  </si>
  <si>
    <t>Costo Inventario Total = SUM(Plan_Inventario[CostoTotal])</t>
  </si>
  <si>
    <t>Unidades Compradas</t>
  </si>
  <si>
    <t>Unidades Compradas = SUM(Plan_Inventario[CompraOptima])</t>
  </si>
  <si>
    <t>Stock Final</t>
  </si>
  <si>
    <t>Stock Final = SUM(Plan_Inventario[StockFinal])</t>
  </si>
  <si>
    <t>Matriz</t>
  </si>
  <si>
    <t>Semáforo Dev</t>
  </si>
  <si>
    <t>Semáforo Dev = SWITCH(TRUE(),[Utilización Dev %] &gt; 1,"SOBRECARGA",[Utilización Dev %] &gt;= 0.85,"ALTA",[Utilización Dev %] &gt;= 0.70,"MEDIA","BAJA")</t>
  </si>
  <si>
    <t>Tabla/KPI</t>
  </si>
  <si>
    <t>Backlog Total</t>
  </si>
  <si>
    <t>Backlog Total = SUM(Proyectos[Backlog_SP])</t>
  </si>
  <si>
    <t>Cumplimiento Backlog %</t>
  </si>
  <si>
    <t>Cumplimiento Backlog % = DIVIDE([SP Optimizados],[Backlog Total],0)</t>
  </si>
  <si>
    <t>Dashboard de referencia - DevNova TI S.A.C.</t>
  </si>
  <si>
    <t>Indicador</t>
  </si>
  <si>
    <t>Valor</t>
  </si>
  <si>
    <t>Dev %</t>
  </si>
  <si>
    <t>QA %</t>
  </si>
  <si>
    <t>DevOps %</t>
  </si>
  <si>
    <t>Story Points optimizados</t>
  </si>
  <si>
    <t>Valor de negocio total</t>
  </si>
  <si>
    <t>Utilización Dev</t>
  </si>
  <si>
    <t>Utilización QA</t>
  </si>
  <si>
    <t>Utilización DevOps</t>
  </si>
  <si>
    <t>Costo inventario total</t>
  </si>
  <si>
    <t>Ítem</t>
  </si>
  <si>
    <t>Unidades compradas</t>
  </si>
  <si>
    <t>Costo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</si>
</sst>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.00"/>
  </numFmts>
  <fonts count="5">
    <font>
      <sz val="11"/>
      <name val="Carlito"/>
    </font>
    <font>
      <b/>
      <sz val="14"/>
      <color rgb="FF17365D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1"/>
      <color rgb="FF375623"/>
      <name val="Carlito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CE6F1"/>
      </patternFill>
    </fill>
    <fill>
      <patternFill patternType="solid">
        <fgColor rgb="FF1F4E7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1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4" fillId="5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t>Utilización de capacidad por sprint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Dev %</c:v>
          </c:tx>
          <c:marker>
            <c:symbol val="none"/>
          </c:marker>
          <c:cat>
            <c:strRef>
              <c:f>Dashboard_Referencia!$D$4:$D$7</c:f>
              <c:strCache>
                <c:ptCount val="4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</c:strCache>
            </c:strRef>
          </c:cat>
          <c:val>
            <c:numRef>
              <c:f>Dashboard_Referencia!$E$4:$E$7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0.91304347826086951</c:v>
                </c:pt>
                <c:pt idx="3">
                  <c:v>0.8666666666666667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75-43A6-A435-94DA0AF54803}"/>
            </c:ext>
          </c:extLst>
        </c:ser>
        <c:ser>
          <c:idx val="1"/>
          <c:order val="1"/>
          <c:tx>
            <c:v>QA %</c:v>
          </c:tx>
          <c:marker>
            <c:symbol val="none"/>
          </c:marker>
          <c:cat>
            <c:strRef>
              <c:f>Dashboard_Referencia!$D$4:$D$7</c:f>
              <c:strCache>
                <c:ptCount val="4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</c:strCache>
            </c:strRef>
          </c:cat>
          <c:val>
            <c:numRef>
              <c:f>Dashboard_Referencia!$F$4:$F$7</c:f>
              <c:numCache>
                <c:formatCode>0.0%</c:formatCode>
                <c:ptCount val="4"/>
                <c:pt idx="0">
                  <c:v>0.89411764705882357</c:v>
                </c:pt>
                <c:pt idx="1">
                  <c:v>0.9</c:v>
                </c:pt>
                <c:pt idx="2">
                  <c:v>0.81081081081081086</c:v>
                </c:pt>
                <c:pt idx="3">
                  <c:v>0.73333333333333328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E75-43A6-A435-94DA0AF54803}"/>
            </c:ext>
          </c:extLst>
        </c:ser>
        <c:ser>
          <c:idx val="2"/>
          <c:order val="2"/>
          <c:tx>
            <c:v>DevOps %</c:v>
          </c:tx>
          <c:marker>
            <c:symbol val="none"/>
          </c:marker>
          <c:cat>
            <c:strRef>
              <c:f>Dashboard_Referencia!$D$4:$D$7</c:f>
              <c:strCache>
                <c:ptCount val="4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</c:strCache>
            </c:strRef>
          </c:cat>
          <c:val>
            <c:numRef>
              <c:f>Dashboard_Referencia!$G$4:$G$7</c:f>
              <c:numCache>
                <c:formatCode>0.0%</c:formatCode>
                <c:ptCount val="4"/>
                <c:pt idx="0">
                  <c:v>0.90666666666666662</c:v>
                </c:pt>
                <c:pt idx="1">
                  <c:v>0.82499999999999996</c:v>
                </c:pt>
                <c:pt idx="2">
                  <c:v>0.97499999999999998</c:v>
                </c:pt>
                <c:pt idx="3">
                  <c:v>0.92307692307692313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E75-43A6-A435-94DA0AF54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t>Compras óptimas por ítem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Unidades compradas</c:v>
          </c:tx>
          <c:invertIfNegative val="1"/>
          <c:cat>
            <c:strRef>
              <c:f>Dashboard_Referencia!$D$26:$D$29</c:f>
              <c:strCache>
                <c:ptCount val="4"/>
                <c:pt idx="0">
                  <c:v>Laptop desarrollador</c:v>
                </c:pt>
                <c:pt idx="1">
                  <c:v>Power BI Pro</c:v>
                </c:pt>
                <c:pt idx="2">
                  <c:v>SSD 1TB</c:v>
                </c:pt>
                <c:pt idx="3">
                  <c:v>RAM 16GB</c:v>
                </c:pt>
              </c:strCache>
            </c:strRef>
          </c:cat>
          <c:val>
            <c:numRef>
              <c:f>Dashboard_Referencia!$E$26:$E$29</c:f>
              <c:numCache>
                <c:formatCode>General</c:formatCode>
                <c:ptCount val="4"/>
                <c:pt idx="0">
                  <c:v>5</c:v>
                </c:pt>
                <c:pt idx="1">
                  <c:v>8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2-435B-8741-A0BC819D7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royectos" displayName="TblProyectos" ref="A1:J4" totalsRowShown="0">
  <tableColumns count="10">
    <tableColumn id="1" xr3:uid="{00000000-0010-0000-0000-000001000000}" name="ProyectoID"/>
    <tableColumn id="2" xr3:uid="{00000000-0010-0000-0000-000002000000}" name="Proyecto"/>
    <tableColumn id="3" xr3:uid="{00000000-0010-0000-0000-000003000000}" name="Cliente"/>
    <tableColumn id="4" xr3:uid="{00000000-0010-0000-0000-000004000000}" name="Prioridad"/>
    <tableColumn id="5" xr3:uid="{00000000-0010-0000-0000-000005000000}" name="Valor_por_SP"/>
    <tableColumn id="6" xr3:uid="{00000000-0010-0000-0000-000006000000}" name="Dev_h_por_SP"/>
    <tableColumn id="7" xr3:uid="{00000000-0010-0000-0000-000007000000}" name="QA_h_por_SP"/>
    <tableColumn id="8" xr3:uid="{00000000-0010-0000-0000-000008000000}" name="DevOps_h_por_SP"/>
    <tableColumn id="9" xr3:uid="{00000000-0010-0000-0000-000009000000}" name="Backlog_SP"/>
    <tableColumn id="10" xr3:uid="{00000000-0010-0000-0000-00000A000000}" name="Minimo_S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prints" displayName="TblSprints" ref="A1:G5" totalsRowShown="0">
  <tableColumns count="7">
    <tableColumn id="1" xr3:uid="{00000000-0010-0000-0100-000001000000}" name="SprintID"/>
    <tableColumn id="2" xr3:uid="{00000000-0010-0000-0100-000002000000}" name="Sprint"/>
    <tableColumn id="3" xr3:uid="{00000000-0010-0000-0100-000003000000}" name="FechaInicio"/>
    <tableColumn id="4" xr3:uid="{00000000-0010-0000-0100-000004000000}" name="FechaFin"/>
    <tableColumn id="5" xr3:uid="{00000000-0010-0000-0100-000005000000}" name="CapacidadDev_h"/>
    <tableColumn id="6" xr3:uid="{00000000-0010-0000-0100-000006000000}" name="CapacidadQA_h"/>
    <tableColumn id="7" xr3:uid="{00000000-0010-0000-0100-000007000000}" name="CapacidadDevOps_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Asignacion" displayName="TblAsignacion" ref="A1:G13" totalsRowShown="0">
  <tableColumns count="7">
    <tableColumn id="1" xr3:uid="{00000000-0010-0000-0200-000001000000}" name="ProyectoID"/>
    <tableColumn id="2" xr3:uid="{00000000-0010-0000-0200-000002000000}" name="SprintID"/>
    <tableColumn id="3" xr3:uid="{00000000-0010-0000-0200-000003000000}" name="StoryPoints_Optimos"/>
    <tableColumn id="4" xr3:uid="{00000000-0010-0000-0200-000004000000}" name="ValorNegocio"/>
    <tableColumn id="5" xr3:uid="{00000000-0010-0000-0200-000005000000}" name="HorasDev"/>
    <tableColumn id="6" xr3:uid="{00000000-0010-0000-0200-000006000000}" name="HorasQA"/>
    <tableColumn id="7" xr3:uid="{00000000-0010-0000-0200-000007000000}" name="HorasDevOp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Utilizacion" displayName="TblUtilizacion" ref="A1:J5" totalsRowShown="0">
  <tableColumns count="10">
    <tableColumn id="1" xr3:uid="{00000000-0010-0000-0300-000001000000}" name="SprintID"/>
    <tableColumn id="2" xr3:uid="{00000000-0010-0000-0300-000002000000}" name="Dev_Usadas"/>
    <tableColumn id="3" xr3:uid="{00000000-0010-0000-0300-000003000000}" name="Dev_Capacidad"/>
    <tableColumn id="4" xr3:uid="{00000000-0010-0000-0300-000004000000}" name="Dev_Util_pct"/>
    <tableColumn id="5" xr3:uid="{00000000-0010-0000-0300-000005000000}" name="QA_Usadas"/>
    <tableColumn id="6" xr3:uid="{00000000-0010-0000-0300-000006000000}" name="QA_Capacidad"/>
    <tableColumn id="7" xr3:uid="{00000000-0010-0000-0300-000007000000}" name="QA_Util_pct"/>
    <tableColumn id="8" xr3:uid="{00000000-0010-0000-0300-000008000000}" name="DevOps_Usadas"/>
    <tableColumn id="9" xr3:uid="{00000000-0010-0000-0300-000009000000}" name="DevOps_Capacidad"/>
    <tableColumn id="10" xr3:uid="{00000000-0010-0000-0300-00000A000000}" name="DevOps_Util_p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Items" displayName="TblItems" ref="A1:G5" totalsRowShown="0">
  <tableColumns count="7">
    <tableColumn id="1" xr3:uid="{00000000-0010-0000-0400-000001000000}" name="ItemID"/>
    <tableColumn id="2" xr3:uid="{00000000-0010-0000-0400-000002000000}" name="Categoria"/>
    <tableColumn id="3" xr3:uid="{00000000-0010-0000-0400-000003000000}" name="Item"/>
    <tableColumn id="4" xr3:uid="{00000000-0010-0000-0400-000004000000}" name="CostoUnitario"/>
    <tableColumn id="5" xr3:uid="{00000000-0010-0000-0400-000005000000}" name="CostoMantencionSprint"/>
    <tableColumn id="6" xr3:uid="{00000000-0010-0000-0400-000006000000}" name="StockInicial"/>
    <tableColumn id="7" xr3:uid="{00000000-0010-0000-0400-000007000000}" name="StockSegurid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Demanda" displayName="TblDemanda" ref="A1:C17" totalsRowShown="0">
  <tableColumns count="3">
    <tableColumn id="1" xr3:uid="{00000000-0010-0000-0500-000001000000}" name="ItemID"/>
    <tableColumn id="2" xr3:uid="{00000000-0010-0000-0500-000002000000}" name="SprintID"/>
    <tableColumn id="3" xr3:uid="{00000000-0010-0000-0500-000003000000}" name="Deman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PlanInventario" displayName="TblPlanInventario" ref="A1:I17" totalsRowShown="0">
  <tableColumns count="9">
    <tableColumn id="1" xr3:uid="{00000000-0010-0000-0600-000001000000}" name="ItemID"/>
    <tableColumn id="2" xr3:uid="{00000000-0010-0000-0600-000002000000}" name="SprintID"/>
    <tableColumn id="3" xr3:uid="{00000000-0010-0000-0600-000003000000}" name="StockInicialSprint"/>
    <tableColumn id="4" xr3:uid="{00000000-0010-0000-0600-000004000000}" name="Demanda"/>
    <tableColumn id="5" xr3:uid="{00000000-0010-0000-0600-000005000000}" name="CompraOptima"/>
    <tableColumn id="6" xr3:uid="{00000000-0010-0000-0600-000006000000}" name="StockFinal"/>
    <tableColumn id="7" xr3:uid="{00000000-0010-0000-0600-000007000000}" name="CostoCompra"/>
    <tableColumn id="8" xr3:uid="{00000000-0010-0000-0600-000008000000}" name="CostoMantencion"/>
    <tableColumn id="9" xr3:uid="{00000000-0010-0000-0600-000009000000}" name="Costo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Normal="100" zoomScaleSheetLayoutView="100" workbookViewId="0"/>
  </sheetViews>
  <sheetFormatPr defaultRowHeight="15"/>
  <cols>
    <col min="1" max="1" width="22" customWidth="1"/>
    <col min="2" max="2" width="85" customWidth="1"/>
  </cols>
  <sheetData>
    <row r="1" spans="1:8">
      <c r="A1" s="15" t="s">
        <v>0</v>
      </c>
      <c r="B1" s="15"/>
      <c r="C1" s="15"/>
      <c r="D1" s="15"/>
      <c r="E1" s="15"/>
      <c r="F1" s="15"/>
      <c r="G1" s="15"/>
      <c r="H1" s="15"/>
    </row>
    <row r="3" spans="1:8">
      <c r="A3" s="2" t="s">
        <v>1</v>
      </c>
      <c r="B3" s="3" t="s">
        <v>2</v>
      </c>
    </row>
    <row r="4" spans="1:8">
      <c r="A4" s="2" t="s">
        <v>3</v>
      </c>
      <c r="B4" s="3" t="s">
        <v>4</v>
      </c>
    </row>
    <row r="5" spans="1:8">
      <c r="A5" s="2" t="s">
        <v>5</v>
      </c>
      <c r="B5" s="3" t="s">
        <v>6</v>
      </c>
    </row>
    <row r="6" spans="1:8">
      <c r="A6" s="2" t="s">
        <v>7</v>
      </c>
      <c r="B6" s="3" t="s">
        <v>8</v>
      </c>
    </row>
    <row r="7" spans="1:8">
      <c r="A7" s="2" t="s">
        <v>9</v>
      </c>
      <c r="B7" s="3" t="s">
        <v>10</v>
      </c>
    </row>
    <row r="8" spans="1:8">
      <c r="A8" s="2" t="s">
        <v>11</v>
      </c>
      <c r="B8" s="3" t="s">
        <v>12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zoomScaleNormal="100" zoomScaleSheetLayoutView="100" workbookViewId="0"/>
  </sheetViews>
  <sheetFormatPr defaultRowHeight="15"/>
  <cols>
    <col min="1" max="1" width="11.375" customWidth="1"/>
    <col min="2" max="2" width="14.5" customWidth="1"/>
    <col min="3" max="3" width="11" customWidth="1"/>
    <col min="4" max="4" width="10.125" customWidth="1"/>
    <col min="5" max="5" width="13.375" customWidth="1"/>
    <col min="6" max="6" width="14.125" customWidth="1"/>
    <col min="7" max="7" width="13.625" customWidth="1"/>
    <col min="8" max="8" width="17.125" customWidth="1"/>
    <col min="9" max="10" width="11.75" customWidth="1"/>
  </cols>
  <sheetData>
    <row r="1" spans="1:10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</row>
    <row r="2" spans="1:10">
      <c r="A2" s="3" t="s">
        <v>23</v>
      </c>
      <c r="B2" s="3" t="s">
        <v>24</v>
      </c>
      <c r="C2" s="3" t="s">
        <v>25</v>
      </c>
      <c r="D2" s="3" t="s">
        <v>26</v>
      </c>
      <c r="E2" s="3">
        <v>120</v>
      </c>
      <c r="F2" s="3">
        <v>4</v>
      </c>
      <c r="G2" s="3">
        <v>1.5</v>
      </c>
      <c r="H2" s="3">
        <v>0.6</v>
      </c>
      <c r="I2" s="3">
        <v>160</v>
      </c>
      <c r="J2" s="3">
        <v>80</v>
      </c>
    </row>
    <row r="3" spans="1:10">
      <c r="A3" s="3" t="s">
        <v>27</v>
      </c>
      <c r="B3" s="3" t="s">
        <v>28</v>
      </c>
      <c r="C3" s="3" t="s">
        <v>29</v>
      </c>
      <c r="D3" s="3" t="s">
        <v>26</v>
      </c>
      <c r="E3" s="3">
        <v>100</v>
      </c>
      <c r="F3" s="3">
        <v>3.5</v>
      </c>
      <c r="G3" s="3">
        <v>1.2</v>
      </c>
      <c r="H3" s="3">
        <v>0.5</v>
      </c>
      <c r="I3" s="3">
        <v>180</v>
      </c>
      <c r="J3" s="3">
        <v>90</v>
      </c>
    </row>
    <row r="4" spans="1:10">
      <c r="A4" s="3" t="s">
        <v>30</v>
      </c>
      <c r="B4" s="3" t="s">
        <v>31</v>
      </c>
      <c r="C4" s="3" t="s">
        <v>32</v>
      </c>
      <c r="D4" s="3" t="s">
        <v>33</v>
      </c>
      <c r="E4" s="3">
        <v>90</v>
      </c>
      <c r="F4" s="3">
        <v>3</v>
      </c>
      <c r="G4" s="3">
        <v>1</v>
      </c>
      <c r="H4" s="3">
        <v>0.7</v>
      </c>
      <c r="I4" s="3">
        <v>140</v>
      </c>
      <c r="J4" s="3">
        <v>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Normal="100" zoomScaleSheetLayoutView="100" workbookViewId="0"/>
  </sheetViews>
  <sheetFormatPr defaultRowHeight="15"/>
  <cols>
    <col min="1" max="1" width="9.25" customWidth="1"/>
    <col min="2" max="2" width="7.625" customWidth="1"/>
    <col min="3" max="3" width="11.625" customWidth="1"/>
    <col min="4" max="4" width="9.75" customWidth="1"/>
    <col min="5" max="5" width="15.75" customWidth="1"/>
    <col min="6" max="6" width="15.125" customWidth="1"/>
    <col min="7" max="7" width="18.625" customWidth="1"/>
  </cols>
  <sheetData>
    <row r="1" spans="1:7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</row>
    <row r="2" spans="1:7">
      <c r="A2" s="3" t="s">
        <v>41</v>
      </c>
      <c r="B2" s="3" t="s">
        <v>42</v>
      </c>
      <c r="C2" s="6">
        <v>46300</v>
      </c>
      <c r="D2" s="6">
        <v>46311</v>
      </c>
      <c r="E2" s="3">
        <v>430</v>
      </c>
      <c r="F2" s="3">
        <v>170</v>
      </c>
      <c r="G2" s="3">
        <v>75</v>
      </c>
    </row>
    <row r="3" spans="1:7">
      <c r="A3" s="3" t="s">
        <v>43</v>
      </c>
      <c r="B3" s="3" t="s">
        <v>44</v>
      </c>
      <c r="C3" s="6">
        <v>46314</v>
      </c>
      <c r="D3" s="6">
        <v>46325</v>
      </c>
      <c r="E3" s="3">
        <v>450</v>
      </c>
      <c r="F3" s="3">
        <v>180</v>
      </c>
      <c r="G3" s="3">
        <v>80</v>
      </c>
    </row>
    <row r="4" spans="1:7">
      <c r="A4" s="3" t="s">
        <v>45</v>
      </c>
      <c r="B4" s="3" t="s">
        <v>46</v>
      </c>
      <c r="C4" s="6">
        <v>46328</v>
      </c>
      <c r="D4" s="6">
        <v>46339</v>
      </c>
      <c r="E4" s="3">
        <v>460</v>
      </c>
      <c r="F4" s="3">
        <v>185</v>
      </c>
      <c r="G4" s="3">
        <v>80</v>
      </c>
    </row>
    <row r="5" spans="1:7">
      <c r="A5" s="3" t="s">
        <v>47</v>
      </c>
      <c r="B5" s="3" t="s">
        <v>48</v>
      </c>
      <c r="C5" s="6">
        <v>46342</v>
      </c>
      <c r="D5" s="6">
        <v>46353</v>
      </c>
      <c r="E5" s="3">
        <v>450</v>
      </c>
      <c r="F5" s="3">
        <v>180</v>
      </c>
      <c r="G5" s="3">
        <v>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zoomScaleNormal="100" zoomScaleSheetLayoutView="100" workbookViewId="0"/>
  </sheetViews>
  <sheetFormatPr defaultRowHeight="15"/>
  <cols>
    <col min="1" max="1" width="11.375" customWidth="1"/>
    <col min="2" max="2" width="9.25" customWidth="1"/>
    <col min="3" max="3" width="19.125" customWidth="1"/>
    <col min="4" max="4" width="13.25" customWidth="1"/>
    <col min="5" max="5" width="10.375" customWidth="1"/>
    <col min="6" max="6" width="9.875" customWidth="1"/>
    <col min="7" max="7" width="13.375" customWidth="1"/>
  </cols>
  <sheetData>
    <row r="1" spans="1:7">
      <c r="A1" s="5" t="s">
        <v>13</v>
      </c>
      <c r="B1" s="5" t="s">
        <v>34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</row>
    <row r="2" spans="1:7">
      <c r="A2" s="3" t="s">
        <v>23</v>
      </c>
      <c r="B2" s="3" t="s">
        <v>41</v>
      </c>
      <c r="C2" s="3">
        <v>40</v>
      </c>
      <c r="D2" s="7">
        <v>4800</v>
      </c>
      <c r="E2" s="3">
        <v>160</v>
      </c>
      <c r="F2" s="3">
        <v>60</v>
      </c>
      <c r="G2" s="3">
        <v>24</v>
      </c>
    </row>
    <row r="3" spans="1:7">
      <c r="A3" s="3" t="s">
        <v>23</v>
      </c>
      <c r="B3" s="3" t="s">
        <v>43</v>
      </c>
      <c r="C3" s="3">
        <v>60</v>
      </c>
      <c r="D3" s="7">
        <v>7200</v>
      </c>
      <c r="E3" s="3">
        <v>240</v>
      </c>
      <c r="F3" s="3">
        <v>90</v>
      </c>
      <c r="G3" s="3">
        <v>36</v>
      </c>
    </row>
    <row r="4" spans="1:7">
      <c r="A4" s="3" t="s">
        <v>23</v>
      </c>
      <c r="B4" s="3" t="s">
        <v>45</v>
      </c>
      <c r="C4" s="3">
        <v>60</v>
      </c>
      <c r="D4" s="7">
        <v>7200</v>
      </c>
      <c r="E4" s="3">
        <v>240</v>
      </c>
      <c r="F4" s="3">
        <v>90</v>
      </c>
      <c r="G4" s="3">
        <v>36</v>
      </c>
    </row>
    <row r="5" spans="1:7">
      <c r="A5" s="3" t="s">
        <v>23</v>
      </c>
      <c r="B5" s="3" t="s">
        <v>47</v>
      </c>
      <c r="C5" s="3">
        <v>0</v>
      </c>
      <c r="D5" s="7">
        <v>0</v>
      </c>
      <c r="E5" s="3">
        <v>0</v>
      </c>
      <c r="F5" s="3">
        <v>0</v>
      </c>
      <c r="G5" s="3">
        <v>0</v>
      </c>
    </row>
    <row r="6" spans="1:7">
      <c r="A6" s="3" t="s">
        <v>27</v>
      </c>
      <c r="B6" s="3" t="s">
        <v>41</v>
      </c>
      <c r="C6" s="3">
        <v>60</v>
      </c>
      <c r="D6" s="7">
        <v>6000</v>
      </c>
      <c r="E6" s="3">
        <v>210</v>
      </c>
      <c r="F6" s="3">
        <v>72</v>
      </c>
      <c r="G6" s="3">
        <v>30</v>
      </c>
    </row>
    <row r="7" spans="1:7">
      <c r="A7" s="3" t="s">
        <v>27</v>
      </c>
      <c r="B7" s="3" t="s">
        <v>43</v>
      </c>
      <c r="C7" s="3">
        <v>60</v>
      </c>
      <c r="D7" s="7">
        <v>6000</v>
      </c>
      <c r="E7" s="3">
        <v>210</v>
      </c>
      <c r="F7" s="3">
        <v>72</v>
      </c>
      <c r="G7" s="3">
        <v>30</v>
      </c>
    </row>
    <row r="8" spans="1:7">
      <c r="A8" s="3" t="s">
        <v>27</v>
      </c>
      <c r="B8" s="3" t="s">
        <v>45</v>
      </c>
      <c r="C8" s="3">
        <v>0</v>
      </c>
      <c r="D8" s="7">
        <v>0</v>
      </c>
      <c r="E8" s="3">
        <v>0</v>
      </c>
      <c r="F8" s="3">
        <v>0</v>
      </c>
      <c r="G8" s="3">
        <v>0</v>
      </c>
    </row>
    <row r="9" spans="1:7">
      <c r="A9" s="3" t="s">
        <v>27</v>
      </c>
      <c r="B9" s="3" t="s">
        <v>47</v>
      </c>
      <c r="C9" s="3">
        <v>60</v>
      </c>
      <c r="D9" s="7">
        <v>6000</v>
      </c>
      <c r="E9" s="3">
        <v>210</v>
      </c>
      <c r="F9" s="3">
        <v>72</v>
      </c>
      <c r="G9" s="3">
        <v>30</v>
      </c>
    </row>
    <row r="10" spans="1:7">
      <c r="A10" s="3" t="s">
        <v>30</v>
      </c>
      <c r="B10" s="3" t="s">
        <v>41</v>
      </c>
      <c r="C10" s="3">
        <v>20</v>
      </c>
      <c r="D10" s="7">
        <v>1800</v>
      </c>
      <c r="E10" s="3">
        <v>60</v>
      </c>
      <c r="F10" s="3">
        <v>20</v>
      </c>
      <c r="G10" s="3">
        <v>14</v>
      </c>
    </row>
    <row r="11" spans="1:7">
      <c r="A11" s="3" t="s">
        <v>30</v>
      </c>
      <c r="B11" s="3" t="s">
        <v>43</v>
      </c>
      <c r="C11" s="3">
        <v>0</v>
      </c>
      <c r="D11" s="7">
        <v>0</v>
      </c>
      <c r="E11" s="3">
        <v>0</v>
      </c>
      <c r="F11" s="3">
        <v>0</v>
      </c>
      <c r="G11" s="3">
        <v>0</v>
      </c>
    </row>
    <row r="12" spans="1:7">
      <c r="A12" s="3" t="s">
        <v>30</v>
      </c>
      <c r="B12" s="3" t="s">
        <v>45</v>
      </c>
      <c r="C12" s="3">
        <v>60</v>
      </c>
      <c r="D12" s="7">
        <v>5400</v>
      </c>
      <c r="E12" s="3">
        <v>180</v>
      </c>
      <c r="F12" s="3">
        <v>60</v>
      </c>
      <c r="G12" s="3">
        <v>42</v>
      </c>
    </row>
    <row r="13" spans="1:7">
      <c r="A13" s="3" t="s">
        <v>30</v>
      </c>
      <c r="B13" s="3" t="s">
        <v>47</v>
      </c>
      <c r="C13" s="3">
        <v>60</v>
      </c>
      <c r="D13" s="7">
        <v>5400</v>
      </c>
      <c r="E13" s="3">
        <v>180</v>
      </c>
      <c r="F13" s="3">
        <v>60</v>
      </c>
      <c r="G13" s="3">
        <v>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zoomScaleNormal="100" zoomScaleSheetLayoutView="100" workbookViewId="0"/>
  </sheetViews>
  <sheetFormatPr defaultRowHeight="15"/>
  <cols>
    <col min="1" max="1" width="9.25" customWidth="1"/>
    <col min="2" max="2" width="12.375" customWidth="1"/>
    <col min="3" max="3" width="14.75" customWidth="1"/>
    <col min="4" max="4" width="12.875" customWidth="1"/>
    <col min="5" max="5" width="11.75" customWidth="1"/>
    <col min="6" max="6" width="14.25" customWidth="1"/>
    <col min="7" max="7" width="12.375" customWidth="1"/>
    <col min="8" max="8" width="15.25" customWidth="1"/>
    <col min="9" max="9" width="17.75" customWidth="1"/>
    <col min="10" max="10" width="15.875" customWidth="1"/>
  </cols>
  <sheetData>
    <row r="1" spans="1:10">
      <c r="A1" s="5" t="s">
        <v>34</v>
      </c>
      <c r="B1" s="5" t="s">
        <v>54</v>
      </c>
      <c r="C1" s="5" t="s">
        <v>55</v>
      </c>
      <c r="D1" s="5" t="s">
        <v>56</v>
      </c>
      <c r="E1" s="5" t="s">
        <v>57</v>
      </c>
      <c r="F1" s="5" t="s">
        <v>58</v>
      </c>
      <c r="G1" s="5" t="s">
        <v>59</v>
      </c>
      <c r="H1" s="5" t="s">
        <v>60</v>
      </c>
      <c r="I1" s="5" t="s">
        <v>61</v>
      </c>
      <c r="J1" s="5" t="s">
        <v>62</v>
      </c>
    </row>
    <row r="2" spans="1:10">
      <c r="A2" s="3" t="s">
        <v>41</v>
      </c>
      <c r="B2" s="3">
        <v>430</v>
      </c>
      <c r="C2" s="3">
        <v>430</v>
      </c>
      <c r="D2" s="8">
        <v>1</v>
      </c>
      <c r="E2" s="3">
        <v>152</v>
      </c>
      <c r="F2" s="3">
        <v>170</v>
      </c>
      <c r="G2" s="8">
        <v>0.89411764705882357</v>
      </c>
      <c r="H2" s="3">
        <v>68</v>
      </c>
      <c r="I2" s="3">
        <v>75</v>
      </c>
      <c r="J2" s="8">
        <v>0.90666666666666662</v>
      </c>
    </row>
    <row r="3" spans="1:10">
      <c r="A3" s="3" t="s">
        <v>43</v>
      </c>
      <c r="B3" s="3">
        <v>450</v>
      </c>
      <c r="C3" s="3">
        <v>450</v>
      </c>
      <c r="D3" s="8">
        <v>1</v>
      </c>
      <c r="E3" s="3">
        <v>162</v>
      </c>
      <c r="F3" s="3">
        <v>180</v>
      </c>
      <c r="G3" s="8">
        <v>0.9</v>
      </c>
      <c r="H3" s="3">
        <v>66</v>
      </c>
      <c r="I3" s="3">
        <v>80</v>
      </c>
      <c r="J3" s="8">
        <v>0.82499999999999996</v>
      </c>
    </row>
    <row r="4" spans="1:10">
      <c r="A4" s="3" t="s">
        <v>45</v>
      </c>
      <c r="B4" s="3">
        <v>420</v>
      </c>
      <c r="C4" s="3">
        <v>460</v>
      </c>
      <c r="D4" s="8">
        <v>0.91304347826086951</v>
      </c>
      <c r="E4" s="3">
        <v>150</v>
      </c>
      <c r="F4" s="3">
        <v>185</v>
      </c>
      <c r="G4" s="8">
        <v>0.81081081081081086</v>
      </c>
      <c r="H4" s="3">
        <v>78</v>
      </c>
      <c r="I4" s="3">
        <v>80</v>
      </c>
      <c r="J4" s="8">
        <v>0.97499999999999998</v>
      </c>
    </row>
    <row r="5" spans="1:10">
      <c r="A5" s="3" t="s">
        <v>47</v>
      </c>
      <c r="B5" s="3">
        <v>390</v>
      </c>
      <c r="C5" s="3">
        <v>450</v>
      </c>
      <c r="D5" s="8">
        <v>0.8666666666666667</v>
      </c>
      <c r="E5" s="3">
        <v>132</v>
      </c>
      <c r="F5" s="3">
        <v>180</v>
      </c>
      <c r="G5" s="8">
        <v>0.73333333333333328</v>
      </c>
      <c r="H5" s="3">
        <v>72</v>
      </c>
      <c r="I5" s="3">
        <v>78</v>
      </c>
      <c r="J5" s="8">
        <v>0.92307692307692313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zoomScaleNormal="100" zoomScaleSheetLayoutView="100" workbookViewId="0"/>
  </sheetViews>
  <sheetFormatPr defaultRowHeight="15"/>
  <cols>
    <col min="1" max="1" width="8.25" customWidth="1"/>
    <col min="2" max="2" width="10.25" customWidth="1"/>
    <col min="3" max="3" width="16.125" customWidth="1"/>
    <col min="4" max="4" width="13.625" customWidth="1"/>
    <col min="5" max="5" width="21" customWidth="1"/>
    <col min="6" max="6" width="11.625" customWidth="1"/>
    <col min="7" max="7" width="14.75" customWidth="1"/>
  </cols>
  <sheetData>
    <row r="1" spans="1:7">
      <c r="A1" s="5" t="s">
        <v>63</v>
      </c>
      <c r="B1" s="5" t="s">
        <v>64</v>
      </c>
      <c r="C1" s="5" t="s">
        <v>65</v>
      </c>
      <c r="D1" s="5" t="s">
        <v>66</v>
      </c>
      <c r="E1" s="5" t="s">
        <v>67</v>
      </c>
      <c r="F1" s="5" t="s">
        <v>68</v>
      </c>
      <c r="G1" s="5" t="s">
        <v>69</v>
      </c>
    </row>
    <row r="2" spans="1:7">
      <c r="A2" s="3" t="s">
        <v>70</v>
      </c>
      <c r="B2" s="3" t="s">
        <v>71</v>
      </c>
      <c r="C2" s="3" t="s">
        <v>72</v>
      </c>
      <c r="D2" s="9">
        <v>1200</v>
      </c>
      <c r="E2" s="9">
        <v>18</v>
      </c>
      <c r="F2" s="3">
        <v>4</v>
      </c>
      <c r="G2" s="3">
        <v>2</v>
      </c>
    </row>
    <row r="3" spans="1:7">
      <c r="A3" s="3" t="s">
        <v>73</v>
      </c>
      <c r="B3" s="3" t="s">
        <v>74</v>
      </c>
      <c r="C3" s="3" t="s">
        <v>75</v>
      </c>
      <c r="D3" s="9">
        <v>15</v>
      </c>
      <c r="E3" s="9">
        <v>0.5</v>
      </c>
      <c r="F3" s="3">
        <v>8</v>
      </c>
      <c r="G3" s="3">
        <v>5</v>
      </c>
    </row>
    <row r="4" spans="1:7">
      <c r="A4" s="3" t="s">
        <v>76</v>
      </c>
      <c r="B4" s="3" t="s">
        <v>77</v>
      </c>
      <c r="C4" s="3" t="s">
        <v>78</v>
      </c>
      <c r="D4" s="9">
        <v>85</v>
      </c>
      <c r="E4" s="9">
        <v>2</v>
      </c>
      <c r="F4" s="3">
        <v>6</v>
      </c>
      <c r="G4" s="3">
        <v>3</v>
      </c>
    </row>
    <row r="5" spans="1:7">
      <c r="A5" s="3" t="s">
        <v>79</v>
      </c>
      <c r="B5" s="3" t="s">
        <v>77</v>
      </c>
      <c r="C5" s="3" t="s">
        <v>80</v>
      </c>
      <c r="D5" s="9">
        <v>45</v>
      </c>
      <c r="E5" s="9">
        <v>1.2</v>
      </c>
      <c r="F5" s="3">
        <v>10</v>
      </c>
      <c r="G5" s="3">
        <v>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7"/>
  <sheetViews>
    <sheetView zoomScaleNormal="100" zoomScaleSheetLayoutView="100" workbookViewId="0"/>
  </sheetViews>
  <sheetFormatPr defaultRowHeight="15"/>
  <cols>
    <col min="1" max="1" width="8.25" customWidth="1"/>
    <col min="2" max="2" width="9.25" customWidth="1"/>
    <col min="3" max="3" width="10.375" customWidth="1"/>
  </cols>
  <sheetData>
    <row r="1" spans="1:3">
      <c r="A1" s="5" t="s">
        <v>63</v>
      </c>
      <c r="B1" s="5" t="s">
        <v>34</v>
      </c>
      <c r="C1" s="5" t="s">
        <v>81</v>
      </c>
    </row>
    <row r="2" spans="1:3">
      <c r="A2" s="3" t="s">
        <v>70</v>
      </c>
      <c r="B2" s="3" t="s">
        <v>41</v>
      </c>
      <c r="C2" s="3">
        <v>3</v>
      </c>
    </row>
    <row r="3" spans="1:3">
      <c r="A3" s="3" t="s">
        <v>70</v>
      </c>
      <c r="B3" s="3" t="s">
        <v>43</v>
      </c>
      <c r="C3" s="3">
        <v>1</v>
      </c>
    </row>
    <row r="4" spans="1:3">
      <c r="A4" s="3" t="s">
        <v>70</v>
      </c>
      <c r="B4" s="3" t="s">
        <v>45</v>
      </c>
      <c r="C4" s="3">
        <v>2</v>
      </c>
    </row>
    <row r="5" spans="1:3">
      <c r="A5" s="3" t="s">
        <v>70</v>
      </c>
      <c r="B5" s="3" t="s">
        <v>47</v>
      </c>
      <c r="C5" s="3">
        <v>1</v>
      </c>
    </row>
    <row r="6" spans="1:3">
      <c r="A6" s="3" t="s">
        <v>73</v>
      </c>
      <c r="B6" s="3" t="s">
        <v>41</v>
      </c>
      <c r="C6" s="3">
        <v>4</v>
      </c>
    </row>
    <row r="7" spans="1:3">
      <c r="A7" s="3" t="s">
        <v>73</v>
      </c>
      <c r="B7" s="3" t="s">
        <v>43</v>
      </c>
      <c r="C7" s="3">
        <v>2</v>
      </c>
    </row>
    <row r="8" spans="1:3">
      <c r="A8" s="3" t="s">
        <v>73</v>
      </c>
      <c r="B8" s="3" t="s">
        <v>45</v>
      </c>
      <c r="C8" s="3">
        <v>3</v>
      </c>
    </row>
    <row r="9" spans="1:3">
      <c r="A9" s="3" t="s">
        <v>73</v>
      </c>
      <c r="B9" s="3" t="s">
        <v>47</v>
      </c>
      <c r="C9" s="3">
        <v>2</v>
      </c>
    </row>
    <row r="10" spans="1:3">
      <c r="A10" s="3" t="s">
        <v>76</v>
      </c>
      <c r="B10" s="3" t="s">
        <v>41</v>
      </c>
      <c r="C10" s="3">
        <v>2</v>
      </c>
    </row>
    <row r="11" spans="1:3">
      <c r="A11" s="3" t="s">
        <v>76</v>
      </c>
      <c r="B11" s="3" t="s">
        <v>43</v>
      </c>
      <c r="C11" s="3">
        <v>3</v>
      </c>
    </row>
    <row r="12" spans="1:3">
      <c r="A12" s="3" t="s">
        <v>76</v>
      </c>
      <c r="B12" s="3" t="s">
        <v>45</v>
      </c>
      <c r="C12" s="3">
        <v>1</v>
      </c>
    </row>
    <row r="13" spans="1:3">
      <c r="A13" s="3" t="s">
        <v>76</v>
      </c>
      <c r="B13" s="3" t="s">
        <v>47</v>
      </c>
      <c r="C13" s="3">
        <v>2</v>
      </c>
    </row>
    <row r="14" spans="1:3">
      <c r="A14" s="3" t="s">
        <v>79</v>
      </c>
      <c r="B14" s="3" t="s">
        <v>41</v>
      </c>
      <c r="C14" s="3">
        <v>3</v>
      </c>
    </row>
    <row r="15" spans="1:3">
      <c r="A15" s="3" t="s">
        <v>79</v>
      </c>
      <c r="B15" s="3" t="s">
        <v>43</v>
      </c>
      <c r="C15" s="3">
        <v>4</v>
      </c>
    </row>
    <row r="16" spans="1:3">
      <c r="A16" s="3" t="s">
        <v>79</v>
      </c>
      <c r="B16" s="3" t="s">
        <v>45</v>
      </c>
      <c r="C16" s="3">
        <v>2</v>
      </c>
    </row>
    <row r="17" spans="1:3">
      <c r="A17" s="3" t="s">
        <v>79</v>
      </c>
      <c r="B17" s="3" t="s">
        <v>47</v>
      </c>
      <c r="C17" s="3"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"/>
  <sheetViews>
    <sheetView zoomScaleNormal="100" zoomScaleSheetLayoutView="100" workbookViewId="0"/>
  </sheetViews>
  <sheetFormatPr defaultRowHeight="15"/>
  <cols>
    <col min="1" max="1" width="8.25" customWidth="1"/>
    <col min="2" max="2" width="9.25" customWidth="1"/>
    <col min="3" max="3" width="16.25" customWidth="1"/>
    <col min="4" max="4" width="10.375" customWidth="1"/>
    <col min="5" max="5" width="14.75" customWidth="1"/>
    <col min="6" max="6" width="10.75" customWidth="1"/>
    <col min="7" max="7" width="13.25" customWidth="1"/>
    <col min="8" max="8" width="16.5" customWidth="1"/>
    <col min="9" max="9" width="11" customWidth="1"/>
  </cols>
  <sheetData>
    <row r="1" spans="1:9">
      <c r="A1" s="5" t="s">
        <v>63</v>
      </c>
      <c r="B1" s="5" t="s">
        <v>34</v>
      </c>
      <c r="C1" s="5" t="s">
        <v>82</v>
      </c>
      <c r="D1" s="5" t="s">
        <v>81</v>
      </c>
      <c r="E1" s="5" t="s">
        <v>83</v>
      </c>
      <c r="F1" s="5" t="s">
        <v>84</v>
      </c>
      <c r="G1" s="5" t="s">
        <v>85</v>
      </c>
      <c r="H1" s="5" t="s">
        <v>86</v>
      </c>
      <c r="I1" s="5" t="s">
        <v>87</v>
      </c>
    </row>
    <row r="2" spans="1:9">
      <c r="A2" s="3" t="s">
        <v>70</v>
      </c>
      <c r="B2" s="3" t="s">
        <v>41</v>
      </c>
      <c r="C2" s="3">
        <v>4</v>
      </c>
      <c r="D2" s="3">
        <v>3</v>
      </c>
      <c r="E2" s="3">
        <v>1</v>
      </c>
      <c r="F2" s="3">
        <v>2</v>
      </c>
      <c r="G2" s="9">
        <v>1200</v>
      </c>
      <c r="H2" s="9">
        <v>36</v>
      </c>
      <c r="I2" s="9">
        <v>1236</v>
      </c>
    </row>
    <row r="3" spans="1:9">
      <c r="A3" s="3" t="s">
        <v>70</v>
      </c>
      <c r="B3" s="3" t="s">
        <v>43</v>
      </c>
      <c r="C3" s="3">
        <v>2</v>
      </c>
      <c r="D3" s="3">
        <v>1</v>
      </c>
      <c r="E3" s="3">
        <v>1</v>
      </c>
      <c r="F3" s="3">
        <v>2</v>
      </c>
      <c r="G3" s="9">
        <v>1200</v>
      </c>
      <c r="H3" s="9">
        <v>36</v>
      </c>
      <c r="I3" s="9">
        <v>1236</v>
      </c>
    </row>
    <row r="4" spans="1:9">
      <c r="A4" s="3" t="s">
        <v>70</v>
      </c>
      <c r="B4" s="3" t="s">
        <v>45</v>
      </c>
      <c r="C4" s="3">
        <v>2</v>
      </c>
      <c r="D4" s="3">
        <v>2</v>
      </c>
      <c r="E4" s="3">
        <v>2</v>
      </c>
      <c r="F4" s="3">
        <v>2</v>
      </c>
      <c r="G4" s="9">
        <v>2400</v>
      </c>
      <c r="H4" s="9">
        <v>36</v>
      </c>
      <c r="I4" s="9">
        <v>2436</v>
      </c>
    </row>
    <row r="5" spans="1:9">
      <c r="A5" s="3" t="s">
        <v>70</v>
      </c>
      <c r="B5" s="3" t="s">
        <v>47</v>
      </c>
      <c r="C5" s="3">
        <v>2</v>
      </c>
      <c r="D5" s="3">
        <v>1</v>
      </c>
      <c r="E5" s="3">
        <v>1</v>
      </c>
      <c r="F5" s="3">
        <v>2</v>
      </c>
      <c r="G5" s="9">
        <v>1200</v>
      </c>
      <c r="H5" s="9">
        <v>36</v>
      </c>
      <c r="I5" s="9">
        <v>1236</v>
      </c>
    </row>
    <row r="6" spans="1:9">
      <c r="A6" s="3" t="s">
        <v>73</v>
      </c>
      <c r="B6" s="3" t="s">
        <v>41</v>
      </c>
      <c r="C6" s="3">
        <v>8</v>
      </c>
      <c r="D6" s="3">
        <v>4</v>
      </c>
      <c r="E6" s="3">
        <v>1</v>
      </c>
      <c r="F6" s="3">
        <v>5</v>
      </c>
      <c r="G6" s="9">
        <v>15</v>
      </c>
      <c r="H6" s="9">
        <v>2.5</v>
      </c>
      <c r="I6" s="9">
        <v>17.5</v>
      </c>
    </row>
    <row r="7" spans="1:9">
      <c r="A7" s="3" t="s">
        <v>73</v>
      </c>
      <c r="B7" s="3" t="s">
        <v>43</v>
      </c>
      <c r="C7" s="3">
        <v>5</v>
      </c>
      <c r="D7" s="3">
        <v>2</v>
      </c>
      <c r="E7" s="3">
        <v>2</v>
      </c>
      <c r="F7" s="3">
        <v>5</v>
      </c>
      <c r="G7" s="9">
        <v>30</v>
      </c>
      <c r="H7" s="9">
        <v>2.5</v>
      </c>
      <c r="I7" s="9">
        <v>32.5</v>
      </c>
    </row>
    <row r="8" spans="1:9">
      <c r="A8" s="3" t="s">
        <v>73</v>
      </c>
      <c r="B8" s="3" t="s">
        <v>45</v>
      </c>
      <c r="C8" s="3">
        <v>5</v>
      </c>
      <c r="D8" s="3">
        <v>3</v>
      </c>
      <c r="E8" s="3">
        <v>3</v>
      </c>
      <c r="F8" s="3">
        <v>5</v>
      </c>
      <c r="G8" s="9">
        <v>45</v>
      </c>
      <c r="H8" s="9">
        <v>2.5</v>
      </c>
      <c r="I8" s="9">
        <v>47.5</v>
      </c>
    </row>
    <row r="9" spans="1:9">
      <c r="A9" s="3" t="s">
        <v>73</v>
      </c>
      <c r="B9" s="3" t="s">
        <v>47</v>
      </c>
      <c r="C9" s="3">
        <v>5</v>
      </c>
      <c r="D9" s="3">
        <v>2</v>
      </c>
      <c r="E9" s="3">
        <v>2</v>
      </c>
      <c r="F9" s="3">
        <v>5</v>
      </c>
      <c r="G9" s="9">
        <v>30</v>
      </c>
      <c r="H9" s="9">
        <v>2.5</v>
      </c>
      <c r="I9" s="9">
        <v>32.5</v>
      </c>
    </row>
    <row r="10" spans="1:9">
      <c r="A10" s="3" t="s">
        <v>76</v>
      </c>
      <c r="B10" s="3" t="s">
        <v>41</v>
      </c>
      <c r="C10" s="3">
        <v>6</v>
      </c>
      <c r="D10" s="3">
        <v>2</v>
      </c>
      <c r="E10" s="3">
        <v>0</v>
      </c>
      <c r="F10" s="3">
        <v>4</v>
      </c>
      <c r="G10" s="9">
        <v>0</v>
      </c>
      <c r="H10" s="9">
        <v>8</v>
      </c>
      <c r="I10" s="9">
        <v>8</v>
      </c>
    </row>
    <row r="11" spans="1:9">
      <c r="A11" s="3" t="s">
        <v>76</v>
      </c>
      <c r="B11" s="3" t="s">
        <v>43</v>
      </c>
      <c r="C11" s="3">
        <v>4</v>
      </c>
      <c r="D11" s="3">
        <v>3</v>
      </c>
      <c r="E11" s="3">
        <v>2</v>
      </c>
      <c r="F11" s="3">
        <v>3</v>
      </c>
      <c r="G11" s="9">
        <v>170</v>
      </c>
      <c r="H11" s="9">
        <v>6</v>
      </c>
      <c r="I11" s="9">
        <v>176</v>
      </c>
    </row>
    <row r="12" spans="1:9">
      <c r="A12" s="3" t="s">
        <v>76</v>
      </c>
      <c r="B12" s="3" t="s">
        <v>45</v>
      </c>
      <c r="C12" s="3">
        <v>3</v>
      </c>
      <c r="D12" s="3">
        <v>1</v>
      </c>
      <c r="E12" s="3">
        <v>1</v>
      </c>
      <c r="F12" s="3">
        <v>3</v>
      </c>
      <c r="G12" s="9">
        <v>85</v>
      </c>
      <c r="H12" s="9">
        <v>6</v>
      </c>
      <c r="I12" s="9">
        <v>91</v>
      </c>
    </row>
    <row r="13" spans="1:9">
      <c r="A13" s="3" t="s">
        <v>76</v>
      </c>
      <c r="B13" s="3" t="s">
        <v>47</v>
      </c>
      <c r="C13" s="3">
        <v>3</v>
      </c>
      <c r="D13" s="3">
        <v>2</v>
      </c>
      <c r="E13" s="3">
        <v>2</v>
      </c>
      <c r="F13" s="3">
        <v>3</v>
      </c>
      <c r="G13" s="9">
        <v>170</v>
      </c>
      <c r="H13" s="9">
        <v>6</v>
      </c>
      <c r="I13" s="9">
        <v>176</v>
      </c>
    </row>
    <row r="14" spans="1:9">
      <c r="A14" s="3" t="s">
        <v>79</v>
      </c>
      <c r="B14" s="3" t="s">
        <v>41</v>
      </c>
      <c r="C14" s="3">
        <v>10</v>
      </c>
      <c r="D14" s="3">
        <v>3</v>
      </c>
      <c r="E14" s="3">
        <v>0</v>
      </c>
      <c r="F14" s="3">
        <v>7</v>
      </c>
      <c r="G14" s="9">
        <v>0</v>
      </c>
      <c r="H14" s="9">
        <v>8.4</v>
      </c>
      <c r="I14" s="9">
        <v>8.4</v>
      </c>
    </row>
    <row r="15" spans="1:9">
      <c r="A15" s="3" t="s">
        <v>79</v>
      </c>
      <c r="B15" s="3" t="s">
        <v>43</v>
      </c>
      <c r="C15" s="3">
        <v>7</v>
      </c>
      <c r="D15" s="3">
        <v>4</v>
      </c>
      <c r="E15" s="3">
        <v>1</v>
      </c>
      <c r="F15" s="3">
        <v>4</v>
      </c>
      <c r="G15" s="9">
        <v>45</v>
      </c>
      <c r="H15" s="9">
        <v>4.8</v>
      </c>
      <c r="I15" s="9">
        <v>49.8</v>
      </c>
    </row>
    <row r="16" spans="1:9">
      <c r="A16" s="3" t="s">
        <v>79</v>
      </c>
      <c r="B16" s="3" t="s">
        <v>45</v>
      </c>
      <c r="C16" s="3">
        <v>4</v>
      </c>
      <c r="D16" s="3">
        <v>2</v>
      </c>
      <c r="E16" s="3">
        <v>2</v>
      </c>
      <c r="F16" s="3">
        <v>4</v>
      </c>
      <c r="G16" s="9">
        <v>90</v>
      </c>
      <c r="H16" s="9">
        <v>4.8</v>
      </c>
      <c r="I16" s="9">
        <v>94.8</v>
      </c>
    </row>
    <row r="17" spans="1:9">
      <c r="A17" s="3" t="s">
        <v>79</v>
      </c>
      <c r="B17" s="3" t="s">
        <v>47</v>
      </c>
      <c r="C17" s="3">
        <v>4</v>
      </c>
      <c r="D17" s="3">
        <v>3</v>
      </c>
      <c r="E17" s="3">
        <v>3</v>
      </c>
      <c r="F17" s="3">
        <v>4</v>
      </c>
      <c r="G17" s="9">
        <v>135</v>
      </c>
      <c r="H17" s="9">
        <v>4.8</v>
      </c>
      <c r="I17" s="9">
        <v>139.80000000000001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zoomScaleNormal="100" zoomScaleSheetLayoutView="100" workbookViewId="0"/>
  </sheetViews>
  <sheetFormatPr defaultRowHeight="15"/>
  <cols>
    <col min="1" max="1" width="24" customWidth="1"/>
    <col min="2" max="2" width="95" customWidth="1"/>
  </cols>
  <sheetData>
    <row r="1" spans="1:8">
      <c r="A1" s="15" t="s">
        <v>88</v>
      </c>
      <c r="B1" s="15"/>
      <c r="C1" s="15"/>
      <c r="D1" s="15"/>
      <c r="E1" s="15"/>
      <c r="F1" s="15"/>
      <c r="G1" s="15"/>
      <c r="H1" s="15"/>
    </row>
    <row r="3" spans="1:8">
      <c r="A3" s="5" t="s">
        <v>89</v>
      </c>
      <c r="B3" s="5"/>
      <c r="C3" s="5"/>
      <c r="D3" s="5"/>
      <c r="E3" s="5"/>
      <c r="F3" s="5"/>
      <c r="G3" s="5"/>
      <c r="H3" s="5"/>
    </row>
    <row r="4" spans="1:8">
      <c r="A4" s="3" t="s">
        <v>90</v>
      </c>
      <c r="B4" s="3" t="s">
        <v>91</v>
      </c>
      <c r="C4" s="3"/>
      <c r="D4" s="3"/>
      <c r="E4" s="3"/>
      <c r="F4" s="3"/>
      <c r="G4" s="3"/>
      <c r="H4" s="3"/>
    </row>
    <row r="5" spans="1:8">
      <c r="A5" s="3" t="s">
        <v>1</v>
      </c>
      <c r="B5" s="3" t="s">
        <v>92</v>
      </c>
      <c r="C5" s="3"/>
      <c r="D5" s="3"/>
      <c r="E5" s="3"/>
      <c r="F5" s="3"/>
      <c r="G5" s="3"/>
      <c r="H5" s="3"/>
    </row>
    <row r="6" spans="1:8">
      <c r="A6" s="3" t="s">
        <v>93</v>
      </c>
      <c r="B6" s="3" t="s">
        <v>94</v>
      </c>
      <c r="C6" s="3"/>
      <c r="D6" s="3"/>
      <c r="E6" s="3"/>
      <c r="F6" s="3"/>
      <c r="G6" s="3"/>
      <c r="H6" s="3"/>
    </row>
    <row r="7" spans="1:8">
      <c r="A7" s="3" t="s">
        <v>95</v>
      </c>
      <c r="B7" s="3" t="s">
        <v>96</v>
      </c>
      <c r="C7" s="3"/>
      <c r="D7" s="3"/>
      <c r="E7" s="3"/>
      <c r="F7" s="3"/>
      <c r="G7" s="3"/>
      <c r="H7" s="3"/>
    </row>
    <row r="8" spans="1:8">
      <c r="A8" s="3" t="s">
        <v>97</v>
      </c>
      <c r="B8" s="3" t="s">
        <v>98</v>
      </c>
      <c r="C8" s="3"/>
      <c r="D8" s="3"/>
      <c r="E8" s="3"/>
      <c r="F8" s="3"/>
      <c r="G8" s="3"/>
      <c r="H8" s="3"/>
    </row>
    <row r="9" spans="1:8">
      <c r="A9" s="3" t="s">
        <v>99</v>
      </c>
      <c r="B9" s="3" t="s">
        <v>100</v>
      </c>
      <c r="C9" s="3"/>
      <c r="D9" s="3"/>
      <c r="E9" s="3"/>
      <c r="F9" s="3"/>
      <c r="G9" s="3"/>
      <c r="H9" s="3"/>
    </row>
    <row r="10" spans="1:8">
      <c r="A10" s="3" t="s">
        <v>101</v>
      </c>
      <c r="B10" s="3" t="s">
        <v>102</v>
      </c>
      <c r="C10" s="3"/>
      <c r="D10" s="3"/>
      <c r="E10" s="3"/>
      <c r="F10" s="3"/>
      <c r="G10" s="3"/>
      <c r="H10" s="3"/>
    </row>
    <row r="11" spans="1:8">
      <c r="A11" s="3" t="s">
        <v>103</v>
      </c>
      <c r="B11" s="3" t="s">
        <v>104</v>
      </c>
      <c r="C11" s="3"/>
      <c r="D11" s="3"/>
      <c r="E11" s="3"/>
      <c r="F11" s="3"/>
      <c r="G11" s="3"/>
      <c r="H11" s="3"/>
    </row>
    <row r="12" spans="1:8">
      <c r="A12" s="3" t="s">
        <v>105</v>
      </c>
      <c r="B12" s="3" t="s">
        <v>106</v>
      </c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5" t="s">
        <v>107</v>
      </c>
      <c r="B14" s="5"/>
      <c r="C14" s="5"/>
      <c r="D14" s="5"/>
      <c r="E14" s="5"/>
      <c r="F14" s="5"/>
      <c r="G14" s="5"/>
      <c r="H14" s="5"/>
    </row>
    <row r="15" spans="1:8">
      <c r="A15" s="3" t="s">
        <v>90</v>
      </c>
      <c r="B15" s="3" t="s">
        <v>108</v>
      </c>
      <c r="C15" s="3"/>
      <c r="D15" s="3"/>
      <c r="E15" s="3"/>
      <c r="F15" s="3"/>
      <c r="G15" s="3"/>
      <c r="H15" s="3"/>
    </row>
    <row r="16" spans="1:8">
      <c r="A16" s="3" t="s">
        <v>109</v>
      </c>
      <c r="B16" s="3" t="s">
        <v>110</v>
      </c>
      <c r="C16" s="3"/>
      <c r="D16" s="3"/>
      <c r="E16" s="3"/>
      <c r="F16" s="3"/>
      <c r="G16" s="3"/>
      <c r="H16" s="3"/>
    </row>
    <row r="17" spans="1:8">
      <c r="A17" s="3" t="s">
        <v>111</v>
      </c>
      <c r="B17" s="3" t="s">
        <v>112</v>
      </c>
      <c r="C17" s="3"/>
      <c r="D17" s="3"/>
      <c r="E17" s="3"/>
      <c r="F17" s="3"/>
      <c r="G17" s="3"/>
      <c r="H17" s="3"/>
    </row>
    <row r="18" spans="1:8">
      <c r="A18" s="3" t="s">
        <v>1</v>
      </c>
      <c r="B18" s="3" t="s">
        <v>113</v>
      </c>
      <c r="C18" s="3"/>
      <c r="D18" s="3"/>
      <c r="E18" s="3"/>
      <c r="F18" s="3"/>
      <c r="G18" s="3"/>
      <c r="H18" s="3"/>
    </row>
    <row r="19" spans="1:8">
      <c r="A19" s="3" t="s">
        <v>114</v>
      </c>
      <c r="B19" s="3" t="s">
        <v>115</v>
      </c>
      <c r="C19" s="3"/>
      <c r="D19" s="3"/>
      <c r="E19" s="3"/>
      <c r="F19" s="3"/>
      <c r="G19" s="3"/>
      <c r="H19" s="3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0"/>
  <sheetViews>
    <sheetView zoomScaleNormal="100" zoomScaleSheetLayoutView="100" workbookViewId="0"/>
  </sheetViews>
  <sheetFormatPr defaultRowHeight="15"/>
  <cols>
    <col min="1" max="1" width="28" customWidth="1"/>
    <col min="2" max="2" width="95" customWidth="1"/>
    <col min="3" max="3" width="24" customWidth="1"/>
  </cols>
  <sheetData>
    <row r="1" spans="1:3">
      <c r="A1" s="5" t="s">
        <v>116</v>
      </c>
      <c r="B1" s="5" t="s">
        <v>117</v>
      </c>
      <c r="C1" s="5" t="s">
        <v>118</v>
      </c>
    </row>
    <row r="2" spans="1:3">
      <c r="A2" s="3" t="s">
        <v>119</v>
      </c>
      <c r="B2" s="3" t="s">
        <v>120</v>
      </c>
      <c r="C2" s="3" t="s">
        <v>121</v>
      </c>
    </row>
    <row r="3" spans="1:3">
      <c r="A3" s="3" t="s">
        <v>122</v>
      </c>
      <c r="B3" s="3" t="s">
        <v>123</v>
      </c>
      <c r="C3" s="3" t="s">
        <v>121</v>
      </c>
    </row>
    <row r="4" spans="1:3">
      <c r="A4" s="3" t="s">
        <v>124</v>
      </c>
      <c r="B4" s="3" t="s">
        <v>125</v>
      </c>
      <c r="C4" s="3" t="s">
        <v>126</v>
      </c>
    </row>
    <row r="5" spans="1:3">
      <c r="A5" s="3" t="s">
        <v>127</v>
      </c>
      <c r="B5" s="3" t="s">
        <v>128</v>
      </c>
      <c r="C5" s="3" t="s">
        <v>126</v>
      </c>
    </row>
    <row r="6" spans="1:3">
      <c r="A6" s="3" t="s">
        <v>129</v>
      </c>
      <c r="B6" s="3" t="s">
        <v>130</v>
      </c>
      <c r="C6" s="3" t="s">
        <v>126</v>
      </c>
    </row>
    <row r="7" spans="1:3">
      <c r="A7" s="3" t="s">
        <v>131</v>
      </c>
      <c r="B7" s="3" t="s">
        <v>132</v>
      </c>
      <c r="C7" s="3" t="s">
        <v>133</v>
      </c>
    </row>
    <row r="8" spans="1:3">
      <c r="A8" s="3" t="s">
        <v>134</v>
      </c>
      <c r="B8" s="3" t="s">
        <v>135</v>
      </c>
      <c r="C8" s="3" t="s">
        <v>136</v>
      </c>
    </row>
    <row r="9" spans="1:3">
      <c r="A9" s="3" t="s">
        <v>137</v>
      </c>
      <c r="B9" s="3" t="s">
        <v>138</v>
      </c>
      <c r="C9" s="3" t="s">
        <v>133</v>
      </c>
    </row>
    <row r="10" spans="1:3">
      <c r="A10" s="3" t="s">
        <v>139</v>
      </c>
      <c r="B10" s="3" t="s">
        <v>140</v>
      </c>
      <c r="C10" s="3" t="s">
        <v>136</v>
      </c>
    </row>
    <row r="11" spans="1:3">
      <c r="A11" s="3" t="s">
        <v>141</v>
      </c>
      <c r="B11" s="3" t="s">
        <v>142</v>
      </c>
      <c r="C11" s="3" t="s">
        <v>133</v>
      </c>
    </row>
    <row r="12" spans="1:3">
      <c r="A12" s="3" t="s">
        <v>143</v>
      </c>
      <c r="B12" s="3" t="s">
        <v>144</v>
      </c>
      <c r="C12" s="3" t="s">
        <v>136</v>
      </c>
    </row>
    <row r="13" spans="1:3">
      <c r="A13" s="3" t="s">
        <v>145</v>
      </c>
      <c r="B13" s="3" t="s">
        <v>146</v>
      </c>
      <c r="C13" s="3" t="s">
        <v>121</v>
      </c>
    </row>
    <row r="14" spans="1:3">
      <c r="A14" s="3" t="s">
        <v>147</v>
      </c>
      <c r="B14" s="3" t="s">
        <v>148</v>
      </c>
      <c r="C14" s="3" t="s">
        <v>121</v>
      </c>
    </row>
    <row r="15" spans="1:3">
      <c r="A15" s="3" t="s">
        <v>149</v>
      </c>
      <c r="B15" s="3" t="s">
        <v>150</v>
      </c>
      <c r="C15" s="3" t="s">
        <v>121</v>
      </c>
    </row>
    <row r="16" spans="1:3">
      <c r="A16" s="3" t="s">
        <v>151</v>
      </c>
      <c r="B16" s="3" t="s">
        <v>152</v>
      </c>
      <c r="C16" s="3" t="s">
        <v>133</v>
      </c>
    </row>
    <row r="17" spans="1:3">
      <c r="A17" s="3" t="s">
        <v>153</v>
      </c>
      <c r="B17" s="3" t="s">
        <v>154</v>
      </c>
      <c r="C17" s="3" t="s">
        <v>155</v>
      </c>
    </row>
    <row r="18" spans="1:3">
      <c r="A18" s="3" t="s">
        <v>156</v>
      </c>
      <c r="B18" s="3" t="s">
        <v>157</v>
      </c>
      <c r="C18" s="3" t="s">
        <v>158</v>
      </c>
    </row>
    <row r="19" spans="1:3">
      <c r="A19" s="3" t="s">
        <v>159</v>
      </c>
      <c r="B19" s="3" t="s">
        <v>160</v>
      </c>
      <c r="C19" s="3" t="s">
        <v>133</v>
      </c>
    </row>
    <row r="20" spans="1:3">
      <c r="A20" s="3" t="s">
        <v>161</v>
      </c>
      <c r="B20" s="3" t="s">
        <v>162</v>
      </c>
      <c r="C20" s="3" t="s">
        <v>133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9"/>
  <sheetViews>
    <sheetView zoomScaleNormal="100" zoomScaleSheetLayoutView="100" workbookViewId="0"/>
  </sheetViews>
  <sheetFormatPr defaultRowHeight="15"/>
  <cols>
    <col min="1" max="1" width="32" customWidth="1"/>
    <col min="2" max="2" width="20" customWidth="1"/>
  </cols>
  <sheetData>
    <row r="1" spans="1:10">
      <c r="A1" s="15" t="s">
        <v>163</v>
      </c>
      <c r="B1" s="15"/>
      <c r="C1" s="15"/>
      <c r="D1" s="15"/>
      <c r="E1" s="15"/>
      <c r="F1" s="15"/>
      <c r="G1" s="15"/>
      <c r="H1" s="15"/>
      <c r="I1" s="15"/>
      <c r="J1" s="15"/>
    </row>
    <row r="3" spans="1:10">
      <c r="A3" s="4" t="s">
        <v>164</v>
      </c>
      <c r="B3" s="4" t="s">
        <v>165</v>
      </c>
      <c r="D3" s="4" t="s">
        <v>35</v>
      </c>
      <c r="E3" s="4" t="s">
        <v>166</v>
      </c>
      <c r="F3" s="4" t="s">
        <v>167</v>
      </c>
      <c r="G3" s="4" t="s">
        <v>168</v>
      </c>
    </row>
    <row r="4" spans="1:10">
      <c r="A4" s="1" t="s">
        <v>169</v>
      </c>
      <c r="B4" s="10">
        <v>480</v>
      </c>
      <c r="D4" t="s">
        <v>41</v>
      </c>
      <c r="E4" s="13">
        <v>1</v>
      </c>
      <c r="F4" s="13">
        <v>0.89411764705882357</v>
      </c>
      <c r="G4" s="13">
        <v>0.90666666666666662</v>
      </c>
    </row>
    <row r="5" spans="1:10">
      <c r="A5" s="1" t="s">
        <v>170</v>
      </c>
      <c r="B5" s="10">
        <v>49800</v>
      </c>
      <c r="D5" t="s">
        <v>43</v>
      </c>
      <c r="E5" s="13">
        <v>1</v>
      </c>
      <c r="F5" s="13">
        <v>0.9</v>
      </c>
      <c r="G5" s="13">
        <v>0.82499999999999996</v>
      </c>
    </row>
    <row r="6" spans="1:10">
      <c r="A6" s="1" t="s">
        <v>171</v>
      </c>
      <c r="B6" s="11">
        <v>0.94413407821229045</v>
      </c>
      <c r="D6" t="s">
        <v>45</v>
      </c>
      <c r="E6" s="13">
        <v>0.91304347826086951</v>
      </c>
      <c r="F6" s="13">
        <v>0.81081081081081086</v>
      </c>
      <c r="G6" s="13">
        <v>0.97499999999999998</v>
      </c>
    </row>
    <row r="7" spans="1:10">
      <c r="A7" s="1" t="s">
        <v>172</v>
      </c>
      <c r="B7" s="11">
        <v>0.83356643356643356</v>
      </c>
      <c r="D7" t="s">
        <v>47</v>
      </c>
      <c r="E7" s="13">
        <v>0.8666666666666667</v>
      </c>
      <c r="F7" s="13">
        <v>0.73333333333333328</v>
      </c>
      <c r="G7" s="13">
        <v>0.92307692307692313</v>
      </c>
    </row>
    <row r="8" spans="1:10">
      <c r="A8" s="1" t="s">
        <v>173</v>
      </c>
      <c r="B8" s="11">
        <v>0.90734824281150162</v>
      </c>
    </row>
    <row r="9" spans="1:10">
      <c r="A9" s="1" t="s">
        <v>174</v>
      </c>
      <c r="B9" s="12">
        <v>7017.8</v>
      </c>
    </row>
    <row r="25" spans="4:6">
      <c r="D25" s="4" t="s">
        <v>175</v>
      </c>
      <c r="E25" s="4" t="s">
        <v>176</v>
      </c>
      <c r="F25" s="4" t="s">
        <v>177</v>
      </c>
    </row>
    <row r="26" spans="4:6">
      <c r="D26" t="s">
        <v>72</v>
      </c>
      <c r="E26">
        <v>5</v>
      </c>
      <c r="F26" s="14">
        <v>6144</v>
      </c>
    </row>
    <row r="27" spans="4:6">
      <c r="D27" t="s">
        <v>75</v>
      </c>
      <c r="E27">
        <v>8</v>
      </c>
      <c r="F27" s="14">
        <v>130</v>
      </c>
    </row>
    <row r="28" spans="4:6">
      <c r="D28" t="s">
        <v>78</v>
      </c>
      <c r="E28">
        <v>5</v>
      </c>
      <c r="F28" s="14">
        <v>451</v>
      </c>
    </row>
    <row r="29" spans="4:6">
      <c r="D29" t="s">
        <v>80</v>
      </c>
      <c r="E29">
        <v>6</v>
      </c>
      <c r="F29" s="14">
        <v>292.8</v>
      </c>
    </row>
  </sheetData>
  <mergeCells count="1">
    <mergeCell ref="A1:J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7a8402e6-cce9-4a54-814d-10ba6b2515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D04C907AE40D49ADF48DB8E2A98F78" ma:contentTypeVersion="4" ma:contentTypeDescription="Create a new document." ma:contentTypeScope="" ma:versionID="a4a066663c6df18a28c62a313bda5050">
  <xsd:schema xmlns:xsd="http://www.w3.org/2001/XMLSchema" xmlns:xs="http://www.w3.org/2001/XMLSchema" xmlns:p="http://schemas.microsoft.com/office/2006/metadata/properties" xmlns:ns2="7a8402e6-cce9-4a54-814d-10ba6b25156e" targetNamespace="http://schemas.microsoft.com/office/2006/metadata/properties" ma:root="true" ma:fieldsID="35893352c0cd1dd2b343ca853954e4cb" ns2:_="">
    <xsd:import namespace="7a8402e6-cce9-4a54-814d-10ba6b25156e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8402e6-cce9-4a54-814d-10ba6b25156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55D51B-13B5-4978-814F-48AA28EEF3D5}"/>
</file>

<file path=customXml/itemProps2.xml><?xml version="1.0" encoding="utf-8"?>
<ds:datastoreItem xmlns:ds="http://schemas.openxmlformats.org/officeDocument/2006/customXml" ds:itemID="{BFB3A725-B5EB-4C0C-8BA2-BC235FCF730E}"/>
</file>

<file path=customXml/itemProps3.xml><?xml version="1.0" encoding="utf-8"?>
<ds:datastoreItem xmlns:ds="http://schemas.openxmlformats.org/officeDocument/2006/customXml" ds:itemID="{0F98DFED-2F62-492B-A514-214099D386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Angely Karen Rosario Topalaya</cp:lastModifiedBy>
  <cp:revision/>
  <dcterms:created xsi:type="dcterms:W3CDTF">2026-09-29T16:22:18Z</dcterms:created>
  <dcterms:modified xsi:type="dcterms:W3CDTF">2026-09-29T16:22:18Z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0x01010012D04C907AE40D49ADF48DB8E2A98F78</vt:lpwstr>
  </property>
</Properties>
</file>